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cenario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666666"/>
    </font>
    <font>
      <b val="1"/>
      <color rgb="00B71C1C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CFD8D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3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model</author>
  </authors>
  <commentList>
    <comment ref="B9" authorId="0" shapeId="0">
      <text>
        <t>Paste predicted LTV per shop from
shopify-dw.marketing.shop_ltv_mart_predictions_with_forecast
(filtered to US new shops acquired via Adrian Morrison's funnel).
Until filled, all LTV / LTV:CAC rows show '-'.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12" authorId="0" shapeId="0">
      <text>
        <t>Current pays per paid trial ($90 x trials). New model pays per full-price conversion (payout x FP shops).</t>
      </text>
    </comment>
    <comment ref="A15" authorId="0" shapeId="0">
      <text>
        <t>iCAC = payout x CVR / IAF (new model). Current = $90 / IAF. Reported Mar–Apr actual iCAC was ~$241.</t>
      </text>
    </comment>
    <comment ref="A16" authorId="0" shapeId="0">
      <text>
        <t>Positive = over target, negative = under target.</t>
      </text>
    </comment>
    <comment ref="A18" authorId="0" shapeId="0">
      <text>
        <t>From shopify-dw.marketing.shop_ltv_mart_predictions_with_forecast.</t>
      </text>
    </comment>
    <comment ref="A21" authorId="0" shapeId="0">
      <text>
        <t>Lifetime value vs incremental CAC.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" t="inlineStr">
        <is>
          <t>Assumptions / Inputs  (edit these — everything else recalculates)</t>
        </is>
      </c>
      <c r="B1" s="2" t="n"/>
      <c r="C1" s="2" t="n"/>
    </row>
    <row r="2">
      <c r="A2" s="3" t="inlineStr">
        <is>
          <t>Paid trials / mo — base (current)</t>
        </is>
      </c>
      <c r="B2" s="4" t="n">
        <v>8900</v>
      </c>
      <c r="C2" s="5" t="inlineStr">
        <is>
          <t>Held constant in base scenarios.</t>
        </is>
      </c>
    </row>
    <row r="3">
      <c r="A3" s="3" t="inlineStr">
        <is>
          <t>Paid trials / mo — stretch</t>
        </is>
      </c>
      <c r="B3" s="4" t="n">
        <v>12000</v>
      </c>
      <c r="C3" s="5" t="inlineStr">
        <is>
          <t>Stretch volume scenario.</t>
        </is>
      </c>
    </row>
    <row r="4">
      <c r="A4" s="3" t="inlineStr">
        <is>
          <t>1-month trial -&gt; Full-Price CVR</t>
        </is>
      </c>
      <c r="B4" s="6" t="n">
        <v>0.49</v>
      </c>
      <c r="C4" s="5" t="inlineStr">
        <is>
          <t>Historic 1-mo trial conversion.</t>
        </is>
      </c>
    </row>
    <row r="5">
      <c r="A5" s="3" t="inlineStr">
        <is>
          <t>Current 3-month trial CVR</t>
        </is>
      </c>
      <c r="B5" s="6" t="n">
        <v>0.31</v>
      </c>
      <c r="C5" s="5" t="inlineStr">
        <is>
          <t>Historic 3-mo trial conversion (~30%).</t>
        </is>
      </c>
    </row>
    <row r="6">
      <c r="A6" s="3" t="inlineStr">
        <is>
          <t>IAF (incrementality factor)</t>
        </is>
      </c>
      <c r="B6" s="7" t="n">
        <v>0.38</v>
      </c>
      <c r="C6" s="5" t="inlineStr">
        <is>
          <t>iCAC = payout x CVR / IAF.</t>
        </is>
      </c>
    </row>
    <row r="7">
      <c r="A7" s="3" t="inlineStr">
        <is>
          <t>iCAC target ($)</t>
        </is>
      </c>
      <c r="B7" s="8" t="n">
        <v>267</v>
      </c>
      <c r="C7" s="5" t="inlineStr">
        <is>
          <t>US iCAC benchmark.</t>
        </is>
      </c>
    </row>
    <row r="8">
      <c r="A8" s="3" t="inlineStr">
        <is>
          <t>Current payout ($ / paid trial)</t>
        </is>
      </c>
      <c r="B8" s="8" t="n">
        <v>90</v>
      </c>
      <c r="C8" s="5" t="inlineStr">
        <is>
          <t>Current 3-mo model pays per paid trial.</t>
        </is>
      </c>
    </row>
    <row r="9">
      <c r="A9" s="3" t="inlineStr">
        <is>
          <t>LTV per FP shop ($)</t>
        </is>
      </c>
      <c r="B9" s="9" t="n"/>
      <c r="C9" s="5" t="inlineStr">
        <is>
          <t>INPUT: predicted LTV per shop from shopify-dw.marketing.shop_ltv_mart_predictions_with_forecast (US new shops via Adrian's funnel). Fill this cell.</t>
        </is>
      </c>
    </row>
    <row r="10">
      <c r="A10" s="3" t="inlineStr">
        <is>
          <t>New payout 1 ($ / FP conversion)</t>
        </is>
      </c>
      <c r="B10" s="8" t="n">
        <v>250</v>
      </c>
      <c r="C10" s="5" t="inlineStr">
        <is>
          <t>Per full-price conversion.</t>
        </is>
      </c>
    </row>
    <row r="11">
      <c r="A11" s="3" t="inlineStr">
        <is>
          <t>New payout 2 ($ / FP conversion)</t>
        </is>
      </c>
      <c r="B11" s="8" t="n">
        <v>300</v>
      </c>
      <c r="C11" s="5" t="inlineStr">
        <is>
          <t>Per full-price conversion.</t>
        </is>
      </c>
    </row>
    <row r="12">
      <c r="A12" s="3" t="inlineStr">
        <is>
          <t>New payout 3 ($ / FP conversion)</t>
        </is>
      </c>
      <c r="B12" s="8" t="n">
        <v>350</v>
      </c>
      <c r="C12" s="5" t="inlineStr">
        <is>
          <t>Per full-price conversion.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Adrian Morrison — 1-Month Paid-Trial Economics (iCAC &amp; LTV by payout)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0" t="inlineStr"/>
      <c r="B2" s="11" t="inlineStr">
        <is>
          <t>Current (Mar–Apr)</t>
        </is>
      </c>
      <c r="C2" s="12" t="inlineStr">
        <is>
          <t>Base volume — 8,900 paid trials / mo</t>
        </is>
      </c>
      <c r="D2" s="13" t="n"/>
      <c r="E2" s="13" t="n"/>
      <c r="F2" s="14" t="inlineStr">
        <is>
          <t>Stretch volume — 12,000 paid trials / mo</t>
        </is>
      </c>
      <c r="G2" s="15" t="n"/>
      <c r="H2" s="15" t="n"/>
    </row>
    <row r="3">
      <c r="A3" s="16" t="inlineStr">
        <is>
          <t>Payout</t>
        </is>
      </c>
      <c r="B3" s="11" t="inlineStr">
        <is>
          <t>$90 / paid trial</t>
        </is>
      </c>
      <c r="C3" s="12" t="inlineStr">
        <is>
          <t>$250 / FP</t>
        </is>
      </c>
      <c r="D3" s="12" t="inlineStr">
        <is>
          <t>$300 / FP</t>
        </is>
      </c>
      <c r="E3" s="12" t="inlineStr">
        <is>
          <t>$350 / FP</t>
        </is>
      </c>
      <c r="F3" s="14" t="inlineStr">
        <is>
          <t>$250 / FP</t>
        </is>
      </c>
      <c r="G3" s="14" t="inlineStr">
        <is>
          <t>$300 / FP</t>
        </is>
      </c>
      <c r="H3" s="14" t="inlineStr">
        <is>
          <t>$350 / FP</t>
        </is>
      </c>
    </row>
    <row r="4">
      <c r="A4" s="17" t="inlineStr">
        <is>
          <t>WHAT WE GET</t>
        </is>
      </c>
      <c r="B4" s="18" t="n"/>
      <c r="C4" s="18" t="n"/>
      <c r="D4" s="18" t="n"/>
      <c r="E4" s="18" t="n"/>
      <c r="F4" s="18" t="n"/>
      <c r="G4" s="18" t="n"/>
      <c r="H4" s="18" t="n"/>
    </row>
    <row r="5">
      <c r="A5" s="19" t="inlineStr">
        <is>
          <t>Payout rate ($)</t>
        </is>
      </c>
      <c r="B5" s="8">
        <f>Assumptions!$B$8</f>
        <v/>
      </c>
      <c r="C5" s="8">
        <f>Assumptions!$B$10</f>
        <v/>
      </c>
      <c r="D5" s="8">
        <f>Assumptions!$B$11</f>
        <v/>
      </c>
      <c r="E5" s="8">
        <f>Assumptions!$B$12</f>
        <v/>
      </c>
      <c r="F5" s="8">
        <f>Assumptions!$B$10</f>
        <v/>
      </c>
      <c r="G5" s="8">
        <f>Assumptions!$B$11</f>
        <v/>
      </c>
      <c r="H5" s="8">
        <f>Assumptions!$B$12</f>
        <v/>
      </c>
    </row>
    <row r="6">
      <c r="A6" s="19" t="inlineStr">
        <is>
          <t>Paid trials / mo</t>
        </is>
      </c>
      <c r="B6" s="4">
        <f>Assumptions!$B$2</f>
        <v/>
      </c>
      <c r="C6" s="4">
        <f>Assumptions!$B$2</f>
        <v/>
      </c>
      <c r="D6" s="4">
        <f>Assumptions!$B$2</f>
        <v/>
      </c>
      <c r="E6" s="4">
        <f>Assumptions!$B$2</f>
        <v/>
      </c>
      <c r="F6" s="4">
        <f>Assumptions!$B$3</f>
        <v/>
      </c>
      <c r="G6" s="4">
        <f>Assumptions!$B$3</f>
        <v/>
      </c>
      <c r="H6" s="4">
        <f>Assumptions!$B$3</f>
        <v/>
      </c>
    </row>
    <row r="7">
      <c r="A7" s="19" t="inlineStr">
        <is>
          <t>Trial -&gt; Full-Price CVR</t>
        </is>
      </c>
      <c r="B7" s="6">
        <f>Assumptions!$B$5</f>
        <v/>
      </c>
      <c r="C7" s="6">
        <f>Assumptions!$B$4</f>
        <v/>
      </c>
      <c r="D7" s="6">
        <f>Assumptions!$B$4</f>
        <v/>
      </c>
      <c r="E7" s="6">
        <f>Assumptions!$B$4</f>
        <v/>
      </c>
      <c r="F7" s="6">
        <f>Assumptions!$B$4</f>
        <v/>
      </c>
      <c r="G7" s="6">
        <f>Assumptions!$B$4</f>
        <v/>
      </c>
      <c r="H7" s="6">
        <f>Assumptions!$B$4</f>
        <v/>
      </c>
    </row>
    <row r="8">
      <c r="A8" s="3" t="inlineStr">
        <is>
          <t>Full-Price shops / mo</t>
        </is>
      </c>
      <c r="B8" s="20">
        <f>B6*B7</f>
        <v/>
      </c>
      <c r="C8" s="20">
        <f>C6*C7</f>
        <v/>
      </c>
      <c r="D8" s="20">
        <f>D6*D7</f>
        <v/>
      </c>
      <c r="E8" s="20">
        <f>E6*E7</f>
        <v/>
      </c>
      <c r="F8" s="20">
        <f>F6*F7</f>
        <v/>
      </c>
      <c r="G8" s="20">
        <f>G6*G7</f>
        <v/>
      </c>
      <c r="H8" s="20">
        <f>H6*H7</f>
        <v/>
      </c>
    </row>
    <row r="9">
      <c r="A9" s="19" t="inlineStr">
        <is>
          <t>FP shops gained / mo vs current</t>
        </is>
      </c>
      <c r="B9" s="4">
        <f>B8-$B$8</f>
        <v/>
      </c>
      <c r="C9" s="4">
        <f>C8-$B$8</f>
        <v/>
      </c>
      <c r="D9" s="4">
        <f>D8-$B$8</f>
        <v/>
      </c>
      <c r="E9" s="4">
        <f>E8-$B$8</f>
        <v/>
      </c>
      <c r="F9" s="4">
        <f>F8-$B$8</f>
        <v/>
      </c>
      <c r="G9" s="4">
        <f>G8-$B$8</f>
        <v/>
      </c>
      <c r="H9" s="4">
        <f>H8-$B$8</f>
        <v/>
      </c>
    </row>
    <row r="10">
      <c r="A10" s="19" t="inlineStr">
        <is>
          <t>FP shops gained / yr vs current</t>
        </is>
      </c>
      <c r="B10" s="4">
        <f>(B8-$B$8)*12</f>
        <v/>
      </c>
      <c r="C10" s="4">
        <f>(C8-$B$8)*12</f>
        <v/>
      </c>
      <c r="D10" s="4">
        <f>(D8-$B$8)*12</f>
        <v/>
      </c>
      <c r="E10" s="4">
        <f>(E8-$B$8)*12</f>
        <v/>
      </c>
      <c r="F10" s="4">
        <f>(F8-$B$8)*12</f>
        <v/>
      </c>
      <c r="G10" s="4">
        <f>(G8-$B$8)*12</f>
        <v/>
      </c>
      <c r="H10" s="4">
        <f>(H8-$B$8)*12</f>
        <v/>
      </c>
    </row>
    <row r="11">
      <c r="A11" s="17" t="inlineStr">
        <is>
          <t>WHAT IT COSTS</t>
        </is>
      </c>
      <c r="B11" s="18" t="n"/>
      <c r="C11" s="18" t="n"/>
      <c r="D11" s="18" t="n"/>
      <c r="E11" s="18" t="n"/>
      <c r="F11" s="18" t="n"/>
      <c r="G11" s="18" t="n"/>
      <c r="H11" s="18" t="n"/>
    </row>
    <row r="12">
      <c r="A12" s="19" t="inlineStr">
        <is>
          <t>Monthly spend ($)</t>
        </is>
      </c>
      <c r="B12" s="8">
        <f>B5*B6</f>
        <v/>
      </c>
      <c r="C12" s="8">
        <f>C5*C8</f>
        <v/>
      </c>
      <c r="D12" s="8">
        <f>D5*D8</f>
        <v/>
      </c>
      <c r="E12" s="8">
        <f>E5*E8</f>
        <v/>
      </c>
      <c r="F12" s="8">
        <f>F5*F8</f>
        <v/>
      </c>
      <c r="G12" s="8">
        <f>G5*G8</f>
        <v/>
      </c>
      <c r="H12" s="8">
        <f>H5*H8</f>
        <v/>
      </c>
    </row>
    <row r="13">
      <c r="A13" s="19" t="inlineStr">
        <is>
          <t>Annual spend ($)</t>
        </is>
      </c>
      <c r="B13" s="8">
        <f>B12*12</f>
        <v/>
      </c>
      <c r="C13" s="8">
        <f>C12*12</f>
        <v/>
      </c>
      <c r="D13" s="8">
        <f>D12*12</f>
        <v/>
      </c>
      <c r="E13" s="8">
        <f>E12*12</f>
        <v/>
      </c>
      <c r="F13" s="8">
        <f>F12*12</f>
        <v/>
      </c>
      <c r="G13" s="8">
        <f>G12*12</f>
        <v/>
      </c>
      <c r="H13" s="8">
        <f>H12*12</f>
        <v/>
      </c>
    </row>
    <row r="14">
      <c r="A14" s="19" t="inlineStr">
        <is>
          <t>Cost per FP shop ($)</t>
        </is>
      </c>
      <c r="B14" s="8">
        <f>B12/B8</f>
        <v/>
      </c>
      <c r="C14" s="8">
        <f>C12/C8</f>
        <v/>
      </c>
      <c r="D14" s="8">
        <f>D12/D8</f>
        <v/>
      </c>
      <c r="E14" s="8">
        <f>E12/E8</f>
        <v/>
      </c>
      <c r="F14" s="8">
        <f>F12/F8</f>
        <v/>
      </c>
      <c r="G14" s="8">
        <f>G12/G8</f>
        <v/>
      </c>
      <c r="H14" s="8">
        <f>H12/H8</f>
        <v/>
      </c>
    </row>
    <row r="15">
      <c r="A15" s="3" t="inlineStr">
        <is>
          <t>iCAC ($)</t>
        </is>
      </c>
      <c r="B15" s="21">
        <f>B5/Assumptions!$B$6</f>
        <v/>
      </c>
      <c r="C15" s="21">
        <f>C5*C7/Assumptions!$B$6</f>
        <v/>
      </c>
      <c r="D15" s="21">
        <f>D5*D7/Assumptions!$B$6</f>
        <v/>
      </c>
      <c r="E15" s="21">
        <f>E5*E7/Assumptions!$B$6</f>
        <v/>
      </c>
      <c r="F15" s="21">
        <f>F5*F7/Assumptions!$B$6</f>
        <v/>
      </c>
      <c r="G15" s="21">
        <f>G5*G7/Assumptions!$B$6</f>
        <v/>
      </c>
      <c r="H15" s="21">
        <f>H5*H7/Assumptions!$B$6</f>
        <v/>
      </c>
    </row>
    <row r="16">
      <c r="A16" s="19" t="inlineStr">
        <is>
          <t>iCAC vs $267 target</t>
        </is>
      </c>
      <c r="B16" s="6">
        <f>B15/Assumptions!$B$7-1</f>
        <v/>
      </c>
      <c r="C16" s="6">
        <f>C15/Assumptions!$B$7-1</f>
        <v/>
      </c>
      <c r="D16" s="6">
        <f>D15/Assumptions!$B$7-1</f>
        <v/>
      </c>
      <c r="E16" s="6">
        <f>E15/Assumptions!$B$7-1</f>
        <v/>
      </c>
      <c r="F16" s="6">
        <f>F15/Assumptions!$B$7-1</f>
        <v/>
      </c>
      <c r="G16" s="6">
        <f>G15/Assumptions!$B$7-1</f>
        <v/>
      </c>
      <c r="H16" s="6">
        <f>H15/Assumptions!$B$7-1</f>
        <v/>
      </c>
    </row>
    <row r="17">
      <c r="A17" s="17" t="inlineStr">
        <is>
          <t>LTV  (fill Assumptions!B9 to populate)</t>
        </is>
      </c>
      <c r="B17" s="18" t="n"/>
      <c r="C17" s="18" t="n"/>
      <c r="D17" s="18" t="n"/>
      <c r="E17" s="18" t="n"/>
      <c r="F17" s="18" t="n"/>
      <c r="G17" s="18" t="n"/>
      <c r="H17" s="18" t="n"/>
    </row>
    <row r="18">
      <c r="A18" s="19" t="inlineStr">
        <is>
          <t>LTV per FP shop ($)</t>
        </is>
      </c>
      <c r="B18" s="8">
        <f>IF(Assumptions!$B$9="","-",Assumptions!$B$9)</f>
        <v/>
      </c>
      <c r="C18" s="8">
        <f>IF(Assumptions!$B$9="","-",Assumptions!$B$9)</f>
        <v/>
      </c>
      <c r="D18" s="8">
        <f>IF(Assumptions!$B$9="","-",Assumptions!$B$9)</f>
        <v/>
      </c>
      <c r="E18" s="8">
        <f>IF(Assumptions!$B$9="","-",Assumptions!$B$9)</f>
        <v/>
      </c>
      <c r="F18" s="8">
        <f>IF(Assumptions!$B$9="","-",Assumptions!$B$9)</f>
        <v/>
      </c>
      <c r="G18" s="8">
        <f>IF(Assumptions!$B$9="","-",Assumptions!$B$9)</f>
        <v/>
      </c>
      <c r="H18" s="8">
        <f>IF(Assumptions!$B$9="","-",Assumptions!$B$9)</f>
        <v/>
      </c>
    </row>
    <row r="19">
      <c r="A19" s="19" t="inlineStr">
        <is>
          <t>Total LTV of new FP shops / mo ($)</t>
        </is>
      </c>
      <c r="B19" s="8">
        <f>IF(Assumptions!$B$9="","-",Assumptions!$B$9*B8)</f>
        <v/>
      </c>
      <c r="C19" s="8">
        <f>IF(Assumptions!$B$9="","-",Assumptions!$B$9*C8)</f>
        <v/>
      </c>
      <c r="D19" s="8">
        <f>IF(Assumptions!$B$9="","-",Assumptions!$B$9*D8)</f>
        <v/>
      </c>
      <c r="E19" s="8">
        <f>IF(Assumptions!$B$9="","-",Assumptions!$B$9*E8)</f>
        <v/>
      </c>
      <c r="F19" s="8">
        <f>IF(Assumptions!$B$9="","-",Assumptions!$B$9*F8)</f>
        <v/>
      </c>
      <c r="G19" s="8">
        <f>IF(Assumptions!$B$9="","-",Assumptions!$B$9*G8)</f>
        <v/>
      </c>
      <c r="H19" s="8">
        <f>IF(Assumptions!$B$9="","-",Assumptions!$B$9*H8)</f>
        <v/>
      </c>
    </row>
    <row r="20">
      <c r="A20" s="19" t="inlineStr">
        <is>
          <t>Total LTV of new FP shops / yr ($)</t>
        </is>
      </c>
      <c r="B20" s="8">
        <f>IF(Assumptions!$B$9="","-",Assumptions!$B$9*B8*12)</f>
        <v/>
      </c>
      <c r="C20" s="8">
        <f>IF(Assumptions!$B$9="","-",Assumptions!$B$9*C8*12)</f>
        <v/>
      </c>
      <c r="D20" s="8">
        <f>IF(Assumptions!$B$9="","-",Assumptions!$B$9*D8*12)</f>
        <v/>
      </c>
      <c r="E20" s="8">
        <f>IF(Assumptions!$B$9="","-",Assumptions!$B$9*E8*12)</f>
        <v/>
      </c>
      <c r="F20" s="8">
        <f>IF(Assumptions!$B$9="","-",Assumptions!$B$9*F8*12)</f>
        <v/>
      </c>
      <c r="G20" s="8">
        <f>IF(Assumptions!$B$9="","-",Assumptions!$B$9*G8*12)</f>
        <v/>
      </c>
      <c r="H20" s="8">
        <f>IF(Assumptions!$B$9="","-",Assumptions!$B$9*H8*12)</f>
        <v/>
      </c>
    </row>
    <row r="21">
      <c r="A21" s="3" t="inlineStr">
        <is>
          <t>LTV : iCAC ratio</t>
        </is>
      </c>
      <c r="B21" s="22">
        <f>IF(Assumptions!$B$9="","-",Assumptions!$B$9/B15)</f>
        <v/>
      </c>
      <c r="C21" s="22">
        <f>IF(Assumptions!$B$9="","-",Assumptions!$B$9/C15)</f>
        <v/>
      </c>
      <c r="D21" s="22">
        <f>IF(Assumptions!$B$9="","-",Assumptions!$B$9/D15)</f>
        <v/>
      </c>
      <c r="E21" s="22">
        <f>IF(Assumptions!$B$9="","-",Assumptions!$B$9/E15)</f>
        <v/>
      </c>
      <c r="F21" s="22">
        <f>IF(Assumptions!$B$9="","-",Assumptions!$B$9/F15)</f>
        <v/>
      </c>
      <c r="G21" s="22">
        <f>IF(Assumptions!$B$9="","-",Assumptions!$B$9/G15)</f>
        <v/>
      </c>
      <c r="H21" s="22">
        <f>IF(Assumptions!$B$9="","-",Assumptions!$B$9/H15)</f>
        <v/>
      </c>
    </row>
    <row r="22">
      <c r="A22" s="19" t="inlineStr">
        <is>
          <t>LTV : cost-per-FP-shop ratio</t>
        </is>
      </c>
      <c r="B22" s="23">
        <f>IF(Assumptions!$B$9="","-",Assumptions!$B$9/B14)</f>
        <v/>
      </c>
      <c r="C22" s="23">
        <f>IF(Assumptions!$B$9="","-",Assumptions!$B$9/C14)</f>
        <v/>
      </c>
      <c r="D22" s="23">
        <f>IF(Assumptions!$B$9="","-",Assumptions!$B$9/D14)</f>
        <v/>
      </c>
      <c r="E22" s="23">
        <f>IF(Assumptions!$B$9="","-",Assumptions!$B$9/E14)</f>
        <v/>
      </c>
      <c r="F22" s="23">
        <f>IF(Assumptions!$B$9="","-",Assumptions!$B$9/F14)</f>
        <v/>
      </c>
      <c r="G22" s="23">
        <f>IF(Assumptions!$B$9="","-",Assumptions!$B$9/G14)</f>
        <v/>
      </c>
      <c r="H22" s="23">
        <f>IF(Assumptions!$B$9="","-",Assumptions!$B$9/H14)</f>
        <v/>
      </c>
    </row>
    <row r="23">
      <c r="A23" s="19" t="inlineStr">
        <is>
          <t>Net LTV per FP shop ($)  (LTV - cost/FP shop)</t>
        </is>
      </c>
      <c r="B23" s="8">
        <f>IF(Assumptions!$B$9="","-",Assumptions!$B$9-B14)</f>
        <v/>
      </c>
      <c r="C23" s="8">
        <f>IF(Assumptions!$B$9="","-",Assumptions!$B$9-C14)</f>
        <v/>
      </c>
      <c r="D23" s="8">
        <f>IF(Assumptions!$B$9="","-",Assumptions!$B$9-D14)</f>
        <v/>
      </c>
      <c r="E23" s="8">
        <f>IF(Assumptions!$B$9="","-",Assumptions!$B$9-E14)</f>
        <v/>
      </c>
      <c r="F23" s="8">
        <f>IF(Assumptions!$B$9="","-",Assumptions!$B$9-F14)</f>
        <v/>
      </c>
      <c r="G23" s="8">
        <f>IF(Assumptions!$B$9="","-",Assumptions!$B$9-G14)</f>
        <v/>
      </c>
      <c r="H23" s="8">
        <f>IF(Assumptions!$B$9="","-",Assumptions!$B$9-H14)</f>
        <v/>
      </c>
    </row>
  </sheetData>
  <mergeCells count="6">
    <mergeCell ref="C2:E2"/>
    <mergeCell ref="A4:H4"/>
    <mergeCell ref="A11:H11"/>
    <mergeCell ref="F2:H2"/>
    <mergeCell ref="A1:H1"/>
    <mergeCell ref="A17:H1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this workbook works</t>
        </is>
      </c>
    </row>
    <row r="2">
      <c r="A2" t="inlineStr"/>
    </row>
    <row r="3">
      <c r="A3" s="24" t="inlineStr">
        <is>
          <t>PURPOSE</t>
        </is>
      </c>
    </row>
    <row r="4">
      <c r="A4" t="inlineStr">
        <is>
          <t>Compare Adrian Morrison's affiliate economics when switching from a 3-month</t>
        </is>
      </c>
    </row>
    <row r="5">
      <c r="A5" t="inlineStr">
        <is>
          <t>paid trial ($90 / paid trial, ~31% conversion) to a 1-month paid trial paid</t>
        </is>
      </c>
    </row>
    <row r="6">
      <c r="A6" t="inlineStr">
        <is>
          <t>PER full-price conversion (~49% conversion), across payouts of $250/$300/$350.</t>
        </is>
      </c>
    </row>
    <row r="7">
      <c r="A7" t="inlineStr"/>
    </row>
    <row r="8">
      <c r="A8" s="24" t="inlineStr">
        <is>
          <t>WHAT TO EDIT</t>
        </is>
      </c>
    </row>
    <row r="9">
      <c r="A9" t="inlineStr">
        <is>
          <t>Only the Assumptions tab. Everything on Scenarios is live formulas.</t>
        </is>
      </c>
    </row>
    <row r="10">
      <c r="A10" t="inlineStr">
        <is>
          <t>The yellow cell Assumptions!B9 (LTV per FP shop) is the one external input —</t>
        </is>
      </c>
    </row>
    <row r="11">
      <c r="A11" t="inlineStr">
        <is>
          <t>paste the predicted LTV per shop from:</t>
        </is>
      </c>
    </row>
    <row r="12">
      <c r="A12" t="inlineStr">
        <is>
          <t xml:space="preserve">    shopify-dw.marketing.shop_ltv_mart_predictions_with_forecast</t>
        </is>
      </c>
    </row>
    <row r="13">
      <c r="A13" t="inlineStr">
        <is>
          <t>(filtered to US new shops acquired through Adrian's funnel).</t>
        </is>
      </c>
    </row>
    <row r="14">
      <c r="A14" t="inlineStr">
        <is>
          <t>Until it is filled, all LTV / LTV:CAC rows display '-'.</t>
        </is>
      </c>
    </row>
    <row r="15">
      <c r="A15" t="inlineStr"/>
    </row>
    <row r="16">
      <c r="A16" s="24" t="inlineStr">
        <is>
          <t>KEY FORMULAS</t>
        </is>
      </c>
    </row>
    <row r="17">
      <c r="A17" t="inlineStr">
        <is>
          <t xml:space="preserve">  FP shops / mo      = paid trials x CVR</t>
        </is>
      </c>
    </row>
    <row r="18">
      <c r="A18" t="inlineStr">
        <is>
          <t xml:space="preserve">  Monthly spend      = payout x FP shops        (new model, paid per FP)</t>
        </is>
      </c>
    </row>
    <row r="19">
      <c r="A19" t="inlineStr">
        <is>
          <t xml:space="preserve">                     = $90 x paid trials         (current model)</t>
        </is>
      </c>
    </row>
    <row r="20">
      <c r="A20" t="inlineStr">
        <is>
          <t xml:space="preserve">  Cost per FP shop   = monthly spend / FP shops</t>
        </is>
      </c>
    </row>
    <row r="21">
      <c r="A21" t="inlineStr">
        <is>
          <t xml:space="preserve">  iCAC               = payout x CVR / IAF        (IAF = 0.38)</t>
        </is>
      </c>
    </row>
    <row r="22">
      <c r="A22" t="inlineStr">
        <is>
          <t xml:space="preserve">  LTV : iCAC         = LTV per FP shop / iCAC</t>
        </is>
      </c>
    </row>
    <row r="23">
      <c r="A23" t="inlineStr"/>
    </row>
    <row r="24">
      <c r="A24" t="inlineStr">
        <is>
          <t>VALIDATION (against prior US rate-scenarios deck)</t>
        </is>
      </c>
    </row>
    <row r="25">
      <c r="A25" t="inlineStr">
        <is>
          <t xml:space="preserve">  $207 -&gt; iCAC $267 | $225 -&gt; iCAC $290 | $250 -&gt; iCAC $322   (matches)</t>
        </is>
      </c>
    </row>
    <row r="26">
      <c r="A26" t="inlineStr"/>
    </row>
    <row r="27">
      <c r="A27" s="24" t="inlineStr">
        <is>
          <t>NOTE ON 'CURRENT' COLUMN</t>
        </is>
      </c>
    </row>
    <row r="28">
      <c r="A28" t="inlineStr">
        <is>
          <t>Formula-derived current iCAC = $90 / 0.38 = ~$237; the deck's reported</t>
        </is>
      </c>
    </row>
    <row r="29">
      <c r="A29" t="inlineStr">
        <is>
          <t>Mar–Apr actual was ~$241 (minor real-world variance).</t>
        </is>
      </c>
    </row>
    <row r="30">
      <c r="A30" t="inlineStr"/>
    </row>
    <row r="31">
      <c r="A31" s="24" t="inlineStr">
        <is>
          <t>LTV ACCESS NOTE</t>
        </is>
      </c>
    </row>
    <row r="32">
      <c r="A32" t="inlineStr">
        <is>
          <t>This workbook was generated in an environment without shopify-dw / BigQuery</t>
        </is>
      </c>
    </row>
    <row r="33">
      <c r="A33" t="inlineStr">
        <is>
          <t>credentials, so the LTV value could not be auto-queried. It is wired as an</t>
        </is>
      </c>
    </row>
    <row r="34">
      <c r="A34" t="inlineStr">
        <is>
          <t>input cell so it populates instantly once the value is entered.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2026-06-05T17:22:37Z</dcterms:created>
  <dcterms:modified xsi:type="dcterms:W3CDTF">2026-06-05T17:22:37Z</dcterms:modified>
</cp:coreProperties>
</file>