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AF sensitivity" sheetId="3" state="visible" r:id="rId3"/>
    <sheet name="LTV sensitivity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+0%;\-0%;0%"/>
    <numFmt numFmtId="167" formatCode="0.00&quot;x&quot;"/>
    <numFmt numFmtId="168" formatCode="&quot;$&quot;#,##0;[Red]-&quot;$&quot;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  <font>
      <i val="1"/>
      <color rgb="00666666"/>
      <sz val="9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FFF59D"/>
      </patternFill>
    </fill>
    <fill>
      <patternFill patternType="solid">
        <fgColor rgb="00CFD8DC"/>
      </patternFill>
    </fill>
    <fill>
      <patternFill patternType="solid">
        <fgColor rgb="001565C0"/>
      </patternFill>
    </fill>
    <fill>
      <patternFill patternType="solid">
        <fgColor rgb="00EF6C00"/>
      </patternFill>
    </fill>
    <fill>
      <patternFill patternType="solid">
        <fgColor rgb="0000695C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9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right" vertical="center"/>
    </xf>
    <xf numFmtId="164" fontId="0" fillId="10" borderId="1" applyAlignment="1" pivotButton="0" quotePrefix="0" xfId="0">
      <alignment horizontal="right" vertical="center"/>
    </xf>
    <xf numFmtId="9" fontId="0" fillId="10" borderId="1" applyAlignment="1" pivotButton="0" quotePrefix="0" xfId="0">
      <alignment horizontal="right" vertical="center"/>
    </xf>
    <xf numFmtId="164" fontId="3" fillId="10" borderId="1" applyAlignment="1" pivotButton="0" quotePrefix="0" xfId="0">
      <alignment horizontal="right" vertical="center"/>
    </xf>
    <xf numFmtId="166" fontId="0" fillId="10" borderId="1" applyAlignment="1" pivotButton="0" quotePrefix="0" xfId="0">
      <alignment horizontal="right" vertical="center"/>
    </xf>
    <xf numFmtId="165" fontId="0" fillId="10" borderId="1" applyAlignment="1" pivotButton="0" quotePrefix="0" xfId="0">
      <alignment horizontal="right" vertical="center"/>
    </xf>
    <xf numFmtId="167" fontId="0" fillId="10" borderId="1" applyAlignment="1" pivotButton="0" quotePrefix="0" xfId="0">
      <alignment horizontal="right" vertical="center"/>
    </xf>
    <xf numFmtId="167" fontId="3" fillId="10" borderId="1" applyAlignment="1" pivotButton="0" quotePrefix="0" xfId="0">
      <alignment horizontal="right" vertical="center"/>
    </xf>
    <xf numFmtId="168" fontId="0" fillId="10" borderId="1" applyAlignment="1" pivotButton="0" quotePrefix="0" xfId="0">
      <alignment horizontal="right" vertical="center"/>
    </xf>
    <xf numFmtId="168" fontId="3" fillId="10" borderId="1" applyAlignment="1" pivotButton="0" quotePrefix="0" xfId="0">
      <alignment horizontal="right" vertical="center"/>
    </xf>
    <xf numFmtId="0" fontId="3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center" vertical="center" wrapText="1"/>
    </xf>
    <xf numFmtId="3" fontId="0" fillId="11" borderId="1" applyAlignment="1" pivotButton="0" quotePrefix="0" xfId="0">
      <alignment horizontal="right" vertical="center"/>
    </xf>
    <xf numFmtId="164" fontId="0" fillId="11" borderId="1" applyAlignment="1" pivotButton="0" quotePrefix="0" xfId="0">
      <alignment horizontal="right" vertical="center"/>
    </xf>
    <xf numFmtId="9" fontId="0" fillId="11" borderId="1" applyAlignment="1" pivotButton="0" quotePrefix="0" xfId="0">
      <alignment horizontal="right" vertical="center"/>
    </xf>
    <xf numFmtId="164" fontId="3" fillId="11" borderId="1" applyAlignment="1" pivotButton="0" quotePrefix="0" xfId="0">
      <alignment horizontal="right" vertical="center"/>
    </xf>
    <xf numFmtId="166" fontId="0" fillId="11" borderId="1" applyAlignment="1" pivotButton="0" quotePrefix="0" xfId="0">
      <alignment horizontal="right" vertical="center"/>
    </xf>
    <xf numFmtId="165" fontId="0" fillId="11" borderId="1" applyAlignment="1" pivotButton="0" quotePrefix="0" xfId="0">
      <alignment horizontal="right" vertical="center"/>
    </xf>
    <xf numFmtId="167" fontId="0" fillId="11" borderId="1" applyAlignment="1" pivotButton="0" quotePrefix="0" xfId="0">
      <alignment horizontal="right" vertical="center"/>
    </xf>
    <xf numFmtId="167" fontId="3" fillId="11" borderId="1" applyAlignment="1" pivotButton="0" quotePrefix="0" xfId="0">
      <alignment horizontal="right" vertical="center"/>
    </xf>
    <xf numFmtId="168" fontId="0" fillId="11" borderId="1" applyAlignment="1" pivotButton="0" quotePrefix="0" xfId="0">
      <alignment horizontal="right" vertical="center"/>
    </xf>
    <xf numFmtId="168" fontId="3" fillId="11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72" customWidth="1" min="3" max="3"/>
  </cols>
  <sheetData>
    <row r="1">
      <c r="A1" s="1" t="inlineStr">
        <is>
          <t>Assumptions / Inputs  —  edit these, every other tab recalculates</t>
        </is>
      </c>
      <c r="B1" s="2" t="n"/>
      <c r="C1" s="2" t="n"/>
    </row>
    <row r="2">
      <c r="A2" s="3" t="inlineStr">
        <is>
          <t>Input</t>
        </is>
      </c>
      <c r="B2" s="4" t="inlineStr">
        <is>
          <t>Value</t>
        </is>
      </c>
      <c r="C2" s="3" t="inlineStr">
        <is>
          <t>Source / note</t>
        </is>
      </c>
    </row>
    <row r="3">
      <c r="A3" s="5" t="inlineStr">
        <is>
          <t>Paid trials / mo — base (current)</t>
        </is>
      </c>
      <c r="B3" s="6" t="n">
        <v>8900</v>
      </c>
      <c r="C3" s="7" t="inlineStr">
        <is>
          <t>Mar–Apr actuals; held constant in base scenarios.</t>
        </is>
      </c>
    </row>
    <row r="4">
      <c r="A4" s="5" t="inlineStr">
        <is>
          <t>Paid trials / mo — stretch</t>
        </is>
      </c>
      <c r="B4" s="6" t="n">
        <v>12000</v>
      </c>
      <c r="C4" s="7" t="inlineStr">
        <is>
          <t>Stretch volume scenario.</t>
        </is>
      </c>
    </row>
    <row r="5">
      <c r="A5" s="5" t="inlineStr">
        <is>
          <t>1-month trial → Full-Price CVR</t>
        </is>
      </c>
      <c r="B5" s="8" t="n">
        <v>0.49</v>
      </c>
      <c r="C5" s="7" t="inlineStr">
        <is>
          <t>Historic 1-mo trial conversion (vs ~31% at 3-mo).</t>
        </is>
      </c>
    </row>
    <row r="6">
      <c r="A6" s="5" t="inlineStr">
        <is>
          <t>Current 3-month trial CVR</t>
        </is>
      </c>
      <c r="B6" s="8" t="n">
        <v>0.31</v>
      </c>
      <c r="C6" s="7" t="inlineStr">
        <is>
          <t>Historic 3-mo trial conversion (~30%).</t>
        </is>
      </c>
    </row>
    <row r="7">
      <c r="A7" s="5" t="inlineStr">
        <is>
          <t>IAF — incrementality factor (current)</t>
        </is>
      </c>
      <c r="B7" s="9" t="n">
        <v>0.38</v>
      </c>
      <c r="C7" s="7" t="inlineStr">
        <is>
          <t>iGA = paid trials × IAF; iCAC = payout × CVR / IAF.</t>
        </is>
      </c>
    </row>
    <row r="8">
      <c r="A8" s="5" t="inlineStr">
        <is>
          <t>iCAC target (US, $)</t>
        </is>
      </c>
      <c r="B8" s="10" t="n">
        <v>267</v>
      </c>
      <c r="C8" s="7" t="inlineStr">
        <is>
          <t>US iCAC benchmark.</t>
        </is>
      </c>
    </row>
    <row r="9">
      <c r="A9" s="5" t="inlineStr">
        <is>
          <t>Current payout ($ / paid trial)</t>
        </is>
      </c>
      <c r="B9" s="10" t="n">
        <v>90</v>
      </c>
      <c r="C9" s="7" t="inlineStr">
        <is>
          <t>Current 3-mo model pays per paid trial.</t>
        </is>
      </c>
    </row>
    <row r="10">
      <c r="A10" s="5" t="inlineStr">
        <is>
          <t>Payout 1 ($ / FP conversion)</t>
        </is>
      </c>
      <c r="B10" s="10" t="n">
        <v>250</v>
      </c>
      <c r="C10" s="7" t="inlineStr">
        <is>
          <t>New 1-mo model pays per full-price conversion.</t>
        </is>
      </c>
    </row>
    <row r="11">
      <c r="A11" s="5" t="inlineStr">
        <is>
          <t>Payout 2 ($ / FP conversion)</t>
        </is>
      </c>
      <c r="B11" s="10" t="n">
        <v>300</v>
      </c>
      <c r="C11" s="7" t="inlineStr">
        <is>
          <t>New 1-mo model pays per full-price conversion.</t>
        </is>
      </c>
    </row>
    <row r="12">
      <c r="A12" s="5" t="inlineStr">
        <is>
          <t>Payout 3 ($ / FP conversion)</t>
        </is>
      </c>
      <c r="B12" s="10" t="n">
        <v>350</v>
      </c>
      <c r="C12" s="7" t="inlineStr">
        <is>
          <t>New 1-mo model pays per full-price conversion.</t>
        </is>
      </c>
    </row>
    <row r="13">
      <c r="A13" s="5" t="inlineStr">
        <is>
          <t>LTV/shop — 1-mo era @12mo ($)</t>
        </is>
      </c>
      <c r="B13" s="11" t="n">
        <v>93.34999999999999</v>
      </c>
      <c r="C13" s="7" t="inlineStr">
        <is>
          <t>shop_ltv_mart_predictions_with_forecast · US · Affiliates · Apr–Nov 2024 cohorts.</t>
        </is>
      </c>
    </row>
    <row r="14">
      <c r="A14" s="5" t="inlineStr">
        <is>
          <t>LTV/shop — 1-mo era @24mo ($)</t>
        </is>
      </c>
      <c r="B14" s="11" t="n">
        <v>130.12</v>
      </c>
      <c r="C14" s="7" t="inlineStr">
        <is>
          <t>Same source. Go-forward LTV (proposal restores 1-mo trial).</t>
        </is>
      </c>
    </row>
    <row r="15">
      <c r="A15" s="5" t="inlineStr">
        <is>
          <t>LTV/shop — 1-mo era @36mo ($)  [HEADLINE]</t>
        </is>
      </c>
      <c r="B15" s="11" t="n">
        <v>164.51</v>
      </c>
      <c r="C15" s="7" t="inlineStr">
        <is>
          <t>Same source. Headline horizon (matches $267 iCAC basis).</t>
        </is>
      </c>
    </row>
    <row r="16">
      <c r="A16" s="5" t="inlineStr">
        <is>
          <t>LTV/shop — 3-mo era @12mo ($)</t>
        </is>
      </c>
      <c r="B16" s="11" t="n">
        <v>74.87</v>
      </c>
      <c r="C16" s="7" t="inlineStr">
        <is>
          <t>Same source · Feb–Dec 2025 cohorts. Current state.</t>
        </is>
      </c>
    </row>
    <row r="17">
      <c r="A17" s="5" t="inlineStr">
        <is>
          <t>LTV/shop — 3-mo era @24mo ($)</t>
        </is>
      </c>
      <c r="B17" s="11" t="n">
        <v>128.52</v>
      </c>
      <c r="C17" s="7" t="inlineStr">
        <is>
          <t>Same source. Current state.</t>
        </is>
      </c>
    </row>
    <row r="18">
      <c r="A18" s="5" t="inlineStr">
        <is>
          <t>LTV/shop — 3-mo era @36mo ($)</t>
        </is>
      </c>
      <c r="B18" s="12" t="n"/>
      <c r="C18" s="7" t="inlineStr">
        <is>
          <t>Not yet aged to 36mo — left blank → shows 'n.a.'</t>
        </is>
      </c>
    </row>
    <row r="19">
      <c r="A19" s="5" t="inlineStr">
        <is>
          <t>LTV realization factor (go-forward)</t>
        </is>
      </c>
      <c r="B19" s="13" t="n">
        <v>1</v>
      </c>
      <c r="C19" s="7" t="inlineStr">
        <is>
          <t>STRESS-TEST LEVER for the lead's 'LTV drops with a 1-mo trial' concern. % of observed 1-mo-era LTV assumed to hold. The observed number already includes marginal (lower-intent) converters, so 100% = no extra haircut; lower it (e.g. 80%) to be conservative for marginal-converter dilution / forecast risk.</t>
        </is>
      </c>
    </row>
    <row r="20">
      <c r="A20" s="5" t="inlineStr">
        <is>
          <t>IAF sensitivity — low</t>
        </is>
      </c>
      <c r="B20" s="9" t="n">
        <v>0.38</v>
      </c>
      <c r="C20" s="7" t="inlineStr">
        <is>
          <t>Current incrementality.</t>
        </is>
      </c>
    </row>
    <row r="21">
      <c r="A21" s="5" t="inlineStr">
        <is>
          <t>IAF sensitivity — mid</t>
        </is>
      </c>
      <c r="B21" s="9" t="n">
        <v>0.6</v>
      </c>
      <c r="C21" s="7" t="inlineStr">
        <is>
          <t>If a fresh 1-mo funnel re-baselines incrementality.</t>
        </is>
      </c>
    </row>
    <row r="22">
      <c r="A22" s="5" t="inlineStr">
        <is>
          <t>IAF sensitivity — high</t>
        </is>
      </c>
      <c r="B22" s="9" t="n">
        <v>0.75</v>
      </c>
      <c r="C22" s="7" t="inlineStr">
        <is>
          <t>Upper incrementality scenario.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9" customWidth="1" min="4" max="4"/>
    <col width="12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3" customWidth="1" min="20" max="20"/>
    <col width="13" customWidth="1" min="21" max="21"/>
    <col width="11" customWidth="1" min="22" max="22"/>
    <col width="13" customWidth="1" min="23" max="23"/>
  </cols>
  <sheetData>
    <row r="1">
      <c r="A1" s="1" t="inlineStr">
        <is>
          <t>Adrian Morrison — 1-Month Paid-Trial Economics  (iCAC · LTV · LTV:CAC by payout &amp; volume)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14" t="inlineStr">
        <is>
          <t>SCENARIO</t>
        </is>
      </c>
      <c r="B2" s="15" t="n"/>
      <c r="C2" s="15" t="n"/>
      <c r="D2" s="15" t="n"/>
      <c r="E2" s="15" t="n"/>
      <c r="F2" s="16" t="inlineStr">
        <is>
          <t>WHAT WE GET</t>
        </is>
      </c>
      <c r="G2" s="17" t="n"/>
      <c r="H2" s="17" t="n"/>
      <c r="I2" s="18" t="inlineStr">
        <is>
          <t>WHAT IT COSTS</t>
        </is>
      </c>
      <c r="J2" s="19" t="n"/>
      <c r="K2" s="19" t="n"/>
      <c r="L2" s="19" t="n"/>
      <c r="M2" s="19" t="n"/>
      <c r="N2" s="20" t="inlineStr">
        <is>
          <t>LTV PER SHOP  &amp;  LTV:CAC</t>
        </is>
      </c>
      <c r="O2" s="21" t="n"/>
      <c r="P2" s="21" t="n"/>
      <c r="Q2" s="21" t="n"/>
      <c r="R2" s="21" t="n"/>
      <c r="S2" s="21" t="n"/>
      <c r="T2" s="22" t="inlineStr">
        <is>
          <t>TOTALS &amp; RETURNS</t>
        </is>
      </c>
      <c r="U2" s="23" t="n"/>
      <c r="V2" s="23" t="n"/>
      <c r="W2" s="23" t="n"/>
    </row>
    <row r="3">
      <c r="A3" s="24" t="inlineStr">
        <is>
          <t>Scenario</t>
        </is>
      </c>
      <c r="B3" s="24" t="inlineStr">
        <is>
          <t>Trial era</t>
        </is>
      </c>
      <c r="C3" s="24" t="inlineStr">
        <is>
          <t>Paid trials / mo</t>
        </is>
      </c>
      <c r="D3" s="24" t="inlineStr">
        <is>
          <t>Payout ($)</t>
        </is>
      </c>
      <c r="E3" s="24" t="inlineStr">
        <is>
          <t>Payout basis</t>
        </is>
      </c>
      <c r="F3" s="24" t="inlineStr">
        <is>
          <t>Trial→FP CVR</t>
        </is>
      </c>
      <c r="G3" s="24" t="inlineStr">
        <is>
          <t>FP shops / mo</t>
        </is>
      </c>
      <c r="H3" s="24" t="inlineStr">
        <is>
          <t>iGA / mo</t>
        </is>
      </c>
      <c r="I3" s="24" t="inlineStr">
        <is>
          <t>Monthly spend</t>
        </is>
      </c>
      <c r="J3" s="24" t="inlineStr">
        <is>
          <t>Annual spend</t>
        </is>
      </c>
      <c r="K3" s="24" t="inlineStr">
        <is>
          <t>Cost / FP shop</t>
        </is>
      </c>
      <c r="L3" s="24" t="inlineStr">
        <is>
          <t>iCAC</t>
        </is>
      </c>
      <c r="M3" s="24" t="inlineStr">
        <is>
          <t>iCAC vs $267</t>
        </is>
      </c>
      <c r="N3" s="24" t="inlineStr">
        <is>
          <t>LTV/shop @12mo</t>
        </is>
      </c>
      <c r="O3" s="24" t="inlineStr">
        <is>
          <t>LTV/shop @24mo</t>
        </is>
      </c>
      <c r="P3" s="24" t="inlineStr">
        <is>
          <t>LTV/shop @36mo</t>
        </is>
      </c>
      <c r="Q3" s="24" t="inlineStr">
        <is>
          <t>LTV:CAC @12mo</t>
        </is>
      </c>
      <c r="R3" s="24" t="inlineStr">
        <is>
          <t>LTV:CAC @24mo</t>
        </is>
      </c>
      <c r="S3" s="24" t="inlineStr">
        <is>
          <t>LTV:CAC @36mo</t>
        </is>
      </c>
      <c r="T3" s="24" t="inlineStr">
        <is>
          <t>Total LTV/mo @36mo</t>
        </is>
      </c>
      <c r="U3" s="24" t="inlineStr">
        <is>
          <t>Total LTV/yr @36mo</t>
        </is>
      </c>
      <c r="V3" s="24" t="inlineStr">
        <is>
          <t>Net contrib/shop @36mo</t>
        </is>
      </c>
      <c r="W3" s="24" t="inlineStr">
        <is>
          <t>Net contrib/yr @36mo</t>
        </is>
      </c>
    </row>
    <row r="4">
      <c r="A4" s="25" t="inlineStr">
        <is>
          <t>Current (3-mo @ $90)</t>
        </is>
      </c>
      <c r="B4" s="26" t="inlineStr">
        <is>
          <t>3-mo</t>
        </is>
      </c>
      <c r="C4" s="27">
        <f>Assumptions!$B$3</f>
        <v/>
      </c>
      <c r="D4" s="28">
        <f>Assumptions!$B$9</f>
        <v/>
      </c>
      <c r="E4" s="26" t="inlineStr">
        <is>
          <t>per paid trial</t>
        </is>
      </c>
      <c r="F4" s="29">
        <f>Assumptions!$B$6</f>
        <v/>
      </c>
      <c r="G4" s="27">
        <f>C4*F4</f>
        <v/>
      </c>
      <c r="H4" s="27">
        <f>C4*Assumptions!$B$7</f>
        <v/>
      </c>
      <c r="I4" s="28">
        <f>D4*C4</f>
        <v/>
      </c>
      <c r="J4" s="28">
        <f>I4*12</f>
        <v/>
      </c>
      <c r="K4" s="28">
        <f>I4/G4</f>
        <v/>
      </c>
      <c r="L4" s="30">
        <f>I4/H4</f>
        <v/>
      </c>
      <c r="M4" s="31">
        <f>L4/Assumptions!$B$8-1</f>
        <v/>
      </c>
      <c r="N4" s="32">
        <f>Assumptions!$B$16</f>
        <v/>
      </c>
      <c r="O4" s="32">
        <f>Assumptions!$B$17</f>
        <v/>
      </c>
      <c r="P4" s="32">
        <f>IF(Assumptions!$B$18="","n.a.",Assumptions!$B$18)</f>
        <v/>
      </c>
      <c r="Q4" s="33">
        <f>N4/K4</f>
        <v/>
      </c>
      <c r="R4" s="33">
        <f>O4/K4</f>
        <v/>
      </c>
      <c r="S4" s="34">
        <f>IF(Assumptions!$B$18="","n.a.",Assumptions!$B$18/K4)</f>
        <v/>
      </c>
      <c r="T4" s="28">
        <f>IF(Assumptions!$B$18="","n.a.",Assumptions!$B$18*G4)</f>
        <v/>
      </c>
      <c r="U4" s="28">
        <f>IF(Assumptions!$B$18="","n.a.",Assumptions!$B$18*G4*12)</f>
        <v/>
      </c>
      <c r="V4" s="35">
        <f>IF(Assumptions!$B$18="","n.a.",Assumptions!$B$18-K4)</f>
        <v/>
      </c>
      <c r="W4" s="36">
        <f>IF(Assumptions!$B$18="","n.a.",(Assumptions!$B$18-K4)*G4*12)</f>
        <v/>
      </c>
    </row>
    <row r="5">
      <c r="A5" s="37" t="inlineStr">
        <is>
          <t>$250 / FP · base 8.9k</t>
        </is>
      </c>
      <c r="B5" s="38" t="inlineStr">
        <is>
          <t>1-mo</t>
        </is>
      </c>
      <c r="C5" s="39">
        <f>Assumptions!$B$3</f>
        <v/>
      </c>
      <c r="D5" s="40">
        <f>Assumptions!$B$10</f>
        <v/>
      </c>
      <c r="E5" s="38" t="inlineStr">
        <is>
          <t>per FP conv.</t>
        </is>
      </c>
      <c r="F5" s="41">
        <f>Assumptions!$B$5</f>
        <v/>
      </c>
      <c r="G5" s="39">
        <f>C5*F5</f>
        <v/>
      </c>
      <c r="H5" s="39">
        <f>C5*Assumptions!$B$7</f>
        <v/>
      </c>
      <c r="I5" s="40">
        <f>D5*G5</f>
        <v/>
      </c>
      <c r="J5" s="40">
        <f>I5*12</f>
        <v/>
      </c>
      <c r="K5" s="40">
        <f>I5/G5</f>
        <v/>
      </c>
      <c r="L5" s="42">
        <f>I5/H5</f>
        <v/>
      </c>
      <c r="M5" s="43">
        <f>L5/Assumptions!$B$8-1</f>
        <v/>
      </c>
      <c r="N5" s="44">
        <f>Assumptions!$B$13*Assumptions!$B$19</f>
        <v/>
      </c>
      <c r="O5" s="44">
        <f>Assumptions!$B$14*Assumptions!$B$19</f>
        <v/>
      </c>
      <c r="P5" s="44">
        <f>IF(Assumptions!$B$15="","n.a.",Assumptions!$B$15*Assumptions!$B$19)</f>
        <v/>
      </c>
      <c r="Q5" s="45">
        <f>N5/K5</f>
        <v/>
      </c>
      <c r="R5" s="45">
        <f>O5/K5</f>
        <v/>
      </c>
      <c r="S5" s="46">
        <f>IF(Assumptions!$B$15="","n.a.",Assumptions!$B$15*Assumptions!$B$19/K5)</f>
        <v/>
      </c>
      <c r="T5" s="40">
        <f>IF(Assumptions!$B$15="","n.a.",Assumptions!$B$15*Assumptions!$B$19*G5)</f>
        <v/>
      </c>
      <c r="U5" s="40">
        <f>IF(Assumptions!$B$15="","n.a.",Assumptions!$B$15*Assumptions!$B$19*G5*12)</f>
        <v/>
      </c>
      <c r="V5" s="47">
        <f>IF(Assumptions!$B$15="","n.a.",Assumptions!$B$15*Assumptions!$B$19-K5)</f>
        <v/>
      </c>
      <c r="W5" s="48">
        <f>IF(Assumptions!$B$15="","n.a.",(Assumptions!$B$15*Assumptions!$B$19-K5)*G5*12)</f>
        <v/>
      </c>
    </row>
    <row r="6">
      <c r="A6" s="37" t="inlineStr">
        <is>
          <t>$300 / FP · base 8.9k</t>
        </is>
      </c>
      <c r="B6" s="38" t="inlineStr">
        <is>
          <t>1-mo</t>
        </is>
      </c>
      <c r="C6" s="39">
        <f>Assumptions!$B$3</f>
        <v/>
      </c>
      <c r="D6" s="40">
        <f>Assumptions!$B$11</f>
        <v/>
      </c>
      <c r="E6" s="38" t="inlineStr">
        <is>
          <t>per FP conv.</t>
        </is>
      </c>
      <c r="F6" s="41">
        <f>Assumptions!$B$5</f>
        <v/>
      </c>
      <c r="G6" s="39">
        <f>C6*F6</f>
        <v/>
      </c>
      <c r="H6" s="39">
        <f>C6*Assumptions!$B$7</f>
        <v/>
      </c>
      <c r="I6" s="40">
        <f>D6*G6</f>
        <v/>
      </c>
      <c r="J6" s="40">
        <f>I6*12</f>
        <v/>
      </c>
      <c r="K6" s="40">
        <f>I6/G6</f>
        <v/>
      </c>
      <c r="L6" s="42">
        <f>I6/H6</f>
        <v/>
      </c>
      <c r="M6" s="43">
        <f>L6/Assumptions!$B$8-1</f>
        <v/>
      </c>
      <c r="N6" s="44">
        <f>Assumptions!$B$13*Assumptions!$B$19</f>
        <v/>
      </c>
      <c r="O6" s="44">
        <f>Assumptions!$B$14*Assumptions!$B$19</f>
        <v/>
      </c>
      <c r="P6" s="44">
        <f>IF(Assumptions!$B$15="","n.a.",Assumptions!$B$15*Assumptions!$B$19)</f>
        <v/>
      </c>
      <c r="Q6" s="45">
        <f>N6/K6</f>
        <v/>
      </c>
      <c r="R6" s="45">
        <f>O6/K6</f>
        <v/>
      </c>
      <c r="S6" s="46">
        <f>IF(Assumptions!$B$15="","n.a.",Assumptions!$B$15*Assumptions!$B$19/K6)</f>
        <v/>
      </c>
      <c r="T6" s="40">
        <f>IF(Assumptions!$B$15="","n.a.",Assumptions!$B$15*Assumptions!$B$19*G6)</f>
        <v/>
      </c>
      <c r="U6" s="40">
        <f>IF(Assumptions!$B$15="","n.a.",Assumptions!$B$15*Assumptions!$B$19*G6*12)</f>
        <v/>
      </c>
      <c r="V6" s="47">
        <f>IF(Assumptions!$B$15="","n.a.",Assumptions!$B$15*Assumptions!$B$19-K6)</f>
        <v/>
      </c>
      <c r="W6" s="48">
        <f>IF(Assumptions!$B$15="","n.a.",(Assumptions!$B$15*Assumptions!$B$19-K6)*G6*12)</f>
        <v/>
      </c>
    </row>
    <row r="7">
      <c r="A7" s="37" t="inlineStr">
        <is>
          <t>$350 / FP · base 8.9k</t>
        </is>
      </c>
      <c r="B7" s="38" t="inlineStr">
        <is>
          <t>1-mo</t>
        </is>
      </c>
      <c r="C7" s="39">
        <f>Assumptions!$B$3</f>
        <v/>
      </c>
      <c r="D7" s="40">
        <f>Assumptions!$B$12</f>
        <v/>
      </c>
      <c r="E7" s="38" t="inlineStr">
        <is>
          <t>per FP conv.</t>
        </is>
      </c>
      <c r="F7" s="41">
        <f>Assumptions!$B$5</f>
        <v/>
      </c>
      <c r="G7" s="39">
        <f>C7*F7</f>
        <v/>
      </c>
      <c r="H7" s="39">
        <f>C7*Assumptions!$B$7</f>
        <v/>
      </c>
      <c r="I7" s="40">
        <f>D7*G7</f>
        <v/>
      </c>
      <c r="J7" s="40">
        <f>I7*12</f>
        <v/>
      </c>
      <c r="K7" s="40">
        <f>I7/G7</f>
        <v/>
      </c>
      <c r="L7" s="42">
        <f>I7/H7</f>
        <v/>
      </c>
      <c r="M7" s="43">
        <f>L7/Assumptions!$B$8-1</f>
        <v/>
      </c>
      <c r="N7" s="44">
        <f>Assumptions!$B$13*Assumptions!$B$19</f>
        <v/>
      </c>
      <c r="O7" s="44">
        <f>Assumptions!$B$14*Assumptions!$B$19</f>
        <v/>
      </c>
      <c r="P7" s="44">
        <f>IF(Assumptions!$B$15="","n.a.",Assumptions!$B$15*Assumptions!$B$19)</f>
        <v/>
      </c>
      <c r="Q7" s="45">
        <f>N7/K7</f>
        <v/>
      </c>
      <c r="R7" s="45">
        <f>O7/K7</f>
        <v/>
      </c>
      <c r="S7" s="46">
        <f>IF(Assumptions!$B$15="","n.a.",Assumptions!$B$15*Assumptions!$B$19/K7)</f>
        <v/>
      </c>
      <c r="T7" s="40">
        <f>IF(Assumptions!$B$15="","n.a.",Assumptions!$B$15*Assumptions!$B$19*G7)</f>
        <v/>
      </c>
      <c r="U7" s="40">
        <f>IF(Assumptions!$B$15="","n.a.",Assumptions!$B$15*Assumptions!$B$19*G7*12)</f>
        <v/>
      </c>
      <c r="V7" s="47">
        <f>IF(Assumptions!$B$15="","n.a.",Assumptions!$B$15*Assumptions!$B$19-K7)</f>
        <v/>
      </c>
      <c r="W7" s="48">
        <f>IF(Assumptions!$B$15="","n.a.",(Assumptions!$B$15*Assumptions!$B$19-K7)*G7*12)</f>
        <v/>
      </c>
    </row>
    <row r="8">
      <c r="A8" s="37" t="inlineStr">
        <is>
          <t>$250 / FP · stretch 12k</t>
        </is>
      </c>
      <c r="B8" s="38" t="inlineStr">
        <is>
          <t>1-mo</t>
        </is>
      </c>
      <c r="C8" s="39">
        <f>Assumptions!$B$4</f>
        <v/>
      </c>
      <c r="D8" s="40">
        <f>Assumptions!$B$10</f>
        <v/>
      </c>
      <c r="E8" s="38" t="inlineStr">
        <is>
          <t>per FP conv.</t>
        </is>
      </c>
      <c r="F8" s="41">
        <f>Assumptions!$B$5</f>
        <v/>
      </c>
      <c r="G8" s="39">
        <f>C8*F8</f>
        <v/>
      </c>
      <c r="H8" s="39">
        <f>C8*Assumptions!$B$7</f>
        <v/>
      </c>
      <c r="I8" s="40">
        <f>D8*G8</f>
        <v/>
      </c>
      <c r="J8" s="40">
        <f>I8*12</f>
        <v/>
      </c>
      <c r="K8" s="40">
        <f>I8/G8</f>
        <v/>
      </c>
      <c r="L8" s="42">
        <f>I8/H8</f>
        <v/>
      </c>
      <c r="M8" s="43">
        <f>L8/Assumptions!$B$8-1</f>
        <v/>
      </c>
      <c r="N8" s="44">
        <f>Assumptions!$B$13*Assumptions!$B$19</f>
        <v/>
      </c>
      <c r="O8" s="44">
        <f>Assumptions!$B$14*Assumptions!$B$19</f>
        <v/>
      </c>
      <c r="P8" s="44">
        <f>IF(Assumptions!$B$15="","n.a.",Assumptions!$B$15*Assumptions!$B$19)</f>
        <v/>
      </c>
      <c r="Q8" s="45">
        <f>N8/K8</f>
        <v/>
      </c>
      <c r="R8" s="45">
        <f>O8/K8</f>
        <v/>
      </c>
      <c r="S8" s="46">
        <f>IF(Assumptions!$B$15="","n.a.",Assumptions!$B$15*Assumptions!$B$19/K8)</f>
        <v/>
      </c>
      <c r="T8" s="40">
        <f>IF(Assumptions!$B$15="","n.a.",Assumptions!$B$15*Assumptions!$B$19*G8)</f>
        <v/>
      </c>
      <c r="U8" s="40">
        <f>IF(Assumptions!$B$15="","n.a.",Assumptions!$B$15*Assumptions!$B$19*G8*12)</f>
        <v/>
      </c>
      <c r="V8" s="47">
        <f>IF(Assumptions!$B$15="","n.a.",Assumptions!$B$15*Assumptions!$B$19-K8)</f>
        <v/>
      </c>
      <c r="W8" s="48">
        <f>IF(Assumptions!$B$15="","n.a.",(Assumptions!$B$15*Assumptions!$B$19-K8)*G8*12)</f>
        <v/>
      </c>
    </row>
    <row r="9">
      <c r="A9" s="37" t="inlineStr">
        <is>
          <t>$300 / FP · stretch 12k</t>
        </is>
      </c>
      <c r="B9" s="38" t="inlineStr">
        <is>
          <t>1-mo</t>
        </is>
      </c>
      <c r="C9" s="39">
        <f>Assumptions!$B$4</f>
        <v/>
      </c>
      <c r="D9" s="40">
        <f>Assumptions!$B$11</f>
        <v/>
      </c>
      <c r="E9" s="38" t="inlineStr">
        <is>
          <t>per FP conv.</t>
        </is>
      </c>
      <c r="F9" s="41">
        <f>Assumptions!$B$5</f>
        <v/>
      </c>
      <c r="G9" s="39">
        <f>C9*F9</f>
        <v/>
      </c>
      <c r="H9" s="39">
        <f>C9*Assumptions!$B$7</f>
        <v/>
      </c>
      <c r="I9" s="40">
        <f>D9*G9</f>
        <v/>
      </c>
      <c r="J9" s="40">
        <f>I9*12</f>
        <v/>
      </c>
      <c r="K9" s="40">
        <f>I9/G9</f>
        <v/>
      </c>
      <c r="L9" s="42">
        <f>I9/H9</f>
        <v/>
      </c>
      <c r="M9" s="43">
        <f>L9/Assumptions!$B$8-1</f>
        <v/>
      </c>
      <c r="N9" s="44">
        <f>Assumptions!$B$13*Assumptions!$B$19</f>
        <v/>
      </c>
      <c r="O9" s="44">
        <f>Assumptions!$B$14*Assumptions!$B$19</f>
        <v/>
      </c>
      <c r="P9" s="44">
        <f>IF(Assumptions!$B$15="","n.a.",Assumptions!$B$15*Assumptions!$B$19)</f>
        <v/>
      </c>
      <c r="Q9" s="45">
        <f>N9/K9</f>
        <v/>
      </c>
      <c r="R9" s="45">
        <f>O9/K9</f>
        <v/>
      </c>
      <c r="S9" s="46">
        <f>IF(Assumptions!$B$15="","n.a.",Assumptions!$B$15*Assumptions!$B$19/K9)</f>
        <v/>
      </c>
      <c r="T9" s="40">
        <f>IF(Assumptions!$B$15="","n.a.",Assumptions!$B$15*Assumptions!$B$19*G9)</f>
        <v/>
      </c>
      <c r="U9" s="40">
        <f>IF(Assumptions!$B$15="","n.a.",Assumptions!$B$15*Assumptions!$B$19*G9*12)</f>
        <v/>
      </c>
      <c r="V9" s="47">
        <f>IF(Assumptions!$B$15="","n.a.",Assumptions!$B$15*Assumptions!$B$19-K9)</f>
        <v/>
      </c>
      <c r="W9" s="48">
        <f>IF(Assumptions!$B$15="","n.a.",(Assumptions!$B$15*Assumptions!$B$19-K9)*G9*12)</f>
        <v/>
      </c>
    </row>
    <row r="10">
      <c r="A10" s="37" t="inlineStr">
        <is>
          <t>$350 / FP · stretch 12k</t>
        </is>
      </c>
      <c r="B10" s="38" t="inlineStr">
        <is>
          <t>1-mo</t>
        </is>
      </c>
      <c r="C10" s="39">
        <f>Assumptions!$B$4</f>
        <v/>
      </c>
      <c r="D10" s="40">
        <f>Assumptions!$B$12</f>
        <v/>
      </c>
      <c r="E10" s="38" t="inlineStr">
        <is>
          <t>per FP conv.</t>
        </is>
      </c>
      <c r="F10" s="41">
        <f>Assumptions!$B$5</f>
        <v/>
      </c>
      <c r="G10" s="39">
        <f>C10*F10</f>
        <v/>
      </c>
      <c r="H10" s="39">
        <f>C10*Assumptions!$B$7</f>
        <v/>
      </c>
      <c r="I10" s="40">
        <f>D10*G10</f>
        <v/>
      </c>
      <c r="J10" s="40">
        <f>I10*12</f>
        <v/>
      </c>
      <c r="K10" s="40">
        <f>I10/G10</f>
        <v/>
      </c>
      <c r="L10" s="42">
        <f>I10/H10</f>
        <v/>
      </c>
      <c r="M10" s="43">
        <f>L10/Assumptions!$B$8-1</f>
        <v/>
      </c>
      <c r="N10" s="44">
        <f>Assumptions!$B$13*Assumptions!$B$19</f>
        <v/>
      </c>
      <c r="O10" s="44">
        <f>Assumptions!$B$14*Assumptions!$B$19</f>
        <v/>
      </c>
      <c r="P10" s="44">
        <f>IF(Assumptions!$B$15="","n.a.",Assumptions!$B$15*Assumptions!$B$19)</f>
        <v/>
      </c>
      <c r="Q10" s="45">
        <f>N10/K10</f>
        <v/>
      </c>
      <c r="R10" s="45">
        <f>O10/K10</f>
        <v/>
      </c>
      <c r="S10" s="46">
        <f>IF(Assumptions!$B$15="","n.a.",Assumptions!$B$15*Assumptions!$B$19/K10)</f>
        <v/>
      </c>
      <c r="T10" s="40">
        <f>IF(Assumptions!$B$15="","n.a.",Assumptions!$B$15*Assumptions!$B$19*G10)</f>
        <v/>
      </c>
      <c r="U10" s="40">
        <f>IF(Assumptions!$B$15="","n.a.",Assumptions!$B$15*Assumptions!$B$19*G10*12)</f>
        <v/>
      </c>
      <c r="V10" s="47">
        <f>IF(Assumptions!$B$15="","n.a.",Assumptions!$B$15*Assumptions!$B$19-K10)</f>
        <v/>
      </c>
      <c r="W10" s="48">
        <f>IF(Assumptions!$B$15="","n.a.",(Assumptions!$B$15*Assumptions!$B$19-K10)*G10*12)</f>
        <v/>
      </c>
    </row>
    <row r="12">
      <c r="A12" s="49" t="inlineStr">
        <is>
          <t>• HEADLINE: at 36-mo LTV (~$164.51/shop) the funnel is LTV-negative at every payout — LTV:CAC = LTV ÷ payout = 0.66 ($250) · 0.55 ($300) · 0.47 ($350); iCAC runs 21–69% over the $267 target.</t>
        </is>
      </c>
    </row>
    <row r="13">
      <c r="A13" s="49" t="inlineStr">
        <is>
          <t>• BUT the proposal still wins on both structural axes vs the 3-mo status quo: CVR 31% → 49%, and 1-mo-era per-shop LTV is higher ($93.35 vs $74.87 @12mo).</t>
        </is>
      </c>
    </row>
    <row r="14">
      <c r="A14" s="49" t="inlineStr">
        <is>
          <t>• iGA (incremental gross adds) = paid trials × IAF; iCAC = monthly spend ÷ iGA = payout × CVR ÷ IAF. LTV:CAC uses cost per FP shop (= payout for the new model).</t>
        </is>
      </c>
    </row>
    <row r="15">
      <c r="A15" s="49" t="inlineStr">
        <is>
          <t>• Current state uses 3-mo-era LTV; @36mo not yet aged → shows 'n.a.'. New scenarios use 1-mo-era (go-forward) LTV. All-US.</t>
        </is>
      </c>
    </row>
    <row r="16">
      <c r="A16" s="49" t="inlineStr">
        <is>
          <t>• LTV-DROP CONCERN (lead): go-forward LTV here is the 1-mo-era observed value, which ALREADY includes lower-intent marginal converters. To stress-test further, set 'LTV realization factor' on Assumptions (e.g. 80%) — see the LTV sensitivity tab for the full grid and breakeven.</t>
        </is>
      </c>
    </row>
  </sheetData>
  <mergeCells count="11">
    <mergeCell ref="A13:W13"/>
    <mergeCell ref="A14:W14"/>
    <mergeCell ref="N2:S2"/>
    <mergeCell ref="A1:W1"/>
    <mergeCell ref="A2:E2"/>
    <mergeCell ref="A12:W12"/>
    <mergeCell ref="I2:M2"/>
    <mergeCell ref="T2:W2"/>
    <mergeCell ref="A16:W16"/>
    <mergeCell ref="F2:H2"/>
    <mergeCell ref="A15:W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IAF sensitivity — iCAC moves with incrementality (LTV:CAC does not)</t>
        </is>
      </c>
      <c r="B1" s="2" t="n"/>
      <c r="C1" s="2" t="n"/>
      <c r="D1" s="2" t="n"/>
      <c r="E1" s="2" t="n"/>
    </row>
    <row r="2">
      <c r="A2" s="7" t="inlineStr">
        <is>
          <t>LTV:CAC = LTV ÷ payout, so it is INDEPENDENT of IAF: $250→0.66 · $300→0.55 · $350→0.47 (36-mo). IAF only changes iCAC and iCAC-vs-target below.</t>
        </is>
      </c>
    </row>
    <row r="4">
      <c r="A4" s="50" t="inlineStr">
        <is>
          <t>iCAC ($)</t>
        </is>
      </c>
      <c r="B4" s="17" t="n"/>
      <c r="C4" s="17" t="n"/>
      <c r="D4" s="17" t="n"/>
    </row>
    <row r="5">
      <c r="A5" s="51" t="inlineStr">
        <is>
          <t>Payout \ IAF</t>
        </is>
      </c>
      <c r="B5" s="24" t="inlineStr">
        <is>
          <t>IAF 0.38 (low)</t>
        </is>
      </c>
      <c r="C5" s="24" t="inlineStr">
        <is>
          <t>IAF 0.60 (mid)</t>
        </is>
      </c>
      <c r="D5" s="24" t="inlineStr">
        <is>
          <t>IAF 0.75 (high)</t>
        </is>
      </c>
    </row>
    <row r="6">
      <c r="A6" s="5" t="inlineStr">
        <is>
          <t>$250 / FP</t>
        </is>
      </c>
      <c r="B6" s="10">
        <f>Assumptions!$B$10*Assumptions!$B$5/Assumptions!$B$20</f>
        <v/>
      </c>
      <c r="C6" s="10">
        <f>Assumptions!$B$10*Assumptions!$B$5/Assumptions!$B$21</f>
        <v/>
      </c>
      <c r="D6" s="10">
        <f>Assumptions!$B$10*Assumptions!$B$5/Assumptions!$B$22</f>
        <v/>
      </c>
    </row>
    <row r="7">
      <c r="A7" s="5" t="inlineStr">
        <is>
          <t>$300 / FP</t>
        </is>
      </c>
      <c r="B7" s="10">
        <f>Assumptions!$B$11*Assumptions!$B$5/Assumptions!$B$20</f>
        <v/>
      </c>
      <c r="C7" s="10">
        <f>Assumptions!$B$11*Assumptions!$B$5/Assumptions!$B$21</f>
        <v/>
      </c>
      <c r="D7" s="10">
        <f>Assumptions!$B$11*Assumptions!$B$5/Assumptions!$B$22</f>
        <v/>
      </c>
    </row>
    <row r="8">
      <c r="A8" s="5" t="inlineStr">
        <is>
          <t>$350 / FP</t>
        </is>
      </c>
      <c r="B8" s="10">
        <f>Assumptions!$B$12*Assumptions!$B$5/Assumptions!$B$20</f>
        <v/>
      </c>
      <c r="C8" s="10">
        <f>Assumptions!$B$12*Assumptions!$B$5/Assumptions!$B$21</f>
        <v/>
      </c>
      <c r="D8" s="10">
        <f>Assumptions!$B$12*Assumptions!$B$5/Assumptions!$B$22</f>
        <v/>
      </c>
    </row>
    <row r="11">
      <c r="A11" s="52" t="inlineStr">
        <is>
          <t>iCAC vs $267 target</t>
        </is>
      </c>
      <c r="B11" s="19" t="n"/>
      <c r="C11" s="19" t="n"/>
      <c r="D11" s="19" t="n"/>
    </row>
    <row r="12">
      <c r="A12" s="51" t="inlineStr">
        <is>
          <t>Payout \ IAF</t>
        </is>
      </c>
      <c r="B12" s="24" t="inlineStr">
        <is>
          <t>IAF 0.38 (low)</t>
        </is>
      </c>
      <c r="C12" s="24" t="inlineStr">
        <is>
          <t>IAF 0.60 (mid)</t>
        </is>
      </c>
      <c r="D12" s="24" t="inlineStr">
        <is>
          <t>IAF 0.75 (high)</t>
        </is>
      </c>
    </row>
    <row r="13">
      <c r="A13" s="5" t="inlineStr">
        <is>
          <t>$250 / FP</t>
        </is>
      </c>
      <c r="B13" s="53">
        <f>(Assumptions!$B$10*Assumptions!$B$5/Assumptions!$B$20)/Assumptions!$B$8-1</f>
        <v/>
      </c>
      <c r="C13" s="53">
        <f>(Assumptions!$B$10*Assumptions!$B$5/Assumptions!$B$21)/Assumptions!$B$8-1</f>
        <v/>
      </c>
      <c r="D13" s="53">
        <f>(Assumptions!$B$10*Assumptions!$B$5/Assumptions!$B$22)/Assumptions!$B$8-1</f>
        <v/>
      </c>
    </row>
    <row r="14">
      <c r="A14" s="5" t="inlineStr">
        <is>
          <t>$300 / FP</t>
        </is>
      </c>
      <c r="B14" s="53">
        <f>(Assumptions!$B$11*Assumptions!$B$5/Assumptions!$B$20)/Assumptions!$B$8-1</f>
        <v/>
      </c>
      <c r="C14" s="53">
        <f>(Assumptions!$B$11*Assumptions!$B$5/Assumptions!$B$21)/Assumptions!$B$8-1</f>
        <v/>
      </c>
      <c r="D14" s="53">
        <f>(Assumptions!$B$11*Assumptions!$B$5/Assumptions!$B$22)/Assumptions!$B$8-1</f>
        <v/>
      </c>
    </row>
    <row r="15">
      <c r="A15" s="5" t="inlineStr">
        <is>
          <t>$350 / FP</t>
        </is>
      </c>
      <c r="B15" s="53">
        <f>(Assumptions!$B$12*Assumptions!$B$5/Assumptions!$B$20)/Assumptions!$B$8-1</f>
        <v/>
      </c>
      <c r="C15" s="53">
        <f>(Assumptions!$B$12*Assumptions!$B$5/Assumptions!$B$21)/Assumptions!$B$8-1</f>
        <v/>
      </c>
      <c r="D15" s="53">
        <f>(Assumptions!$B$12*Assumptions!$B$5/Assumptions!$B$22)/Assumptions!$B$8-1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LTV sensitivity — addressing 'LTV drops with a 1-month trial'</t>
        </is>
      </c>
      <c r="B1" s="2" t="n"/>
      <c r="C1" s="2" t="n"/>
      <c r="D1" s="2" t="n"/>
      <c r="E1" s="2" t="n"/>
      <c r="F1" s="2" t="n"/>
    </row>
    <row r="2">
      <c r="A2" s="7" t="inlineStr">
        <is>
          <t>The lead's concern is marginal-converter dilution: a shorter trial converts more people (31%→49%), and the extra converters can be lower-LTV. The 1-mo-era LTV we use ($164.51 @36mo) already reflects that regime. Below: LTV:CAC and net contribution per shop @36mo as the go-forward LTV is haircut from 100% down to 60% of observed. BREAKEVEN (LTV:CAC = 1.0) requires LTV/shop = payout.</t>
        </is>
      </c>
    </row>
    <row r="3"/>
    <row r="4"/>
    <row r="6">
      <c r="A6" s="54" t="inlineStr">
        <is>
          <t>LTV:CAC @36mo  (= LTV × factor ÷ payout)</t>
        </is>
      </c>
      <c r="B6" s="21" t="n"/>
      <c r="C6" s="21" t="n"/>
      <c r="D6" s="21" t="n"/>
      <c r="E6" s="21" t="n"/>
      <c r="F6" s="21" t="n"/>
    </row>
    <row r="7">
      <c r="A7" s="51" t="inlineStr">
        <is>
          <t>Payout \ LTV realization</t>
        </is>
      </c>
      <c r="B7" s="24" t="inlineStr">
        <is>
          <t>130%</t>
        </is>
      </c>
      <c r="C7" s="24" t="inlineStr">
        <is>
          <t>100% (observed)</t>
        </is>
      </c>
      <c r="D7" s="24" t="inlineStr">
        <is>
          <t>85%</t>
        </is>
      </c>
      <c r="E7" s="24" t="inlineStr">
        <is>
          <t>70%</t>
        </is>
      </c>
      <c r="F7" s="24" t="inlineStr">
        <is>
          <t>60%</t>
        </is>
      </c>
    </row>
    <row r="8">
      <c r="A8" s="5" t="inlineStr">
        <is>
          <t>$250 / FP</t>
        </is>
      </c>
      <c r="B8" s="55">
        <f>Assumptions!$B$15*1.3/Assumptions!$B$10</f>
        <v/>
      </c>
      <c r="C8" s="56">
        <f>Assumptions!$B$15*1.0/Assumptions!$B$10</f>
        <v/>
      </c>
      <c r="D8" s="55">
        <f>Assumptions!$B$15*0.85/Assumptions!$B$10</f>
        <v/>
      </c>
      <c r="E8" s="55">
        <f>Assumptions!$B$15*0.7/Assumptions!$B$10</f>
        <v/>
      </c>
      <c r="F8" s="55">
        <f>Assumptions!$B$15*0.6/Assumptions!$B$10</f>
        <v/>
      </c>
    </row>
    <row r="9">
      <c r="A9" s="5" t="inlineStr">
        <is>
          <t>$300 / FP</t>
        </is>
      </c>
      <c r="B9" s="55">
        <f>Assumptions!$B$15*1.3/Assumptions!$B$11</f>
        <v/>
      </c>
      <c r="C9" s="56">
        <f>Assumptions!$B$15*1.0/Assumptions!$B$11</f>
        <v/>
      </c>
      <c r="D9" s="55">
        <f>Assumptions!$B$15*0.85/Assumptions!$B$11</f>
        <v/>
      </c>
      <c r="E9" s="55">
        <f>Assumptions!$B$15*0.7/Assumptions!$B$11</f>
        <v/>
      </c>
      <c r="F9" s="55">
        <f>Assumptions!$B$15*0.6/Assumptions!$B$11</f>
        <v/>
      </c>
    </row>
    <row r="10">
      <c r="A10" s="5" t="inlineStr">
        <is>
          <t>$350 / FP</t>
        </is>
      </c>
      <c r="B10" s="55">
        <f>Assumptions!$B$15*1.3/Assumptions!$B$12</f>
        <v/>
      </c>
      <c r="C10" s="56">
        <f>Assumptions!$B$15*1.0/Assumptions!$B$12</f>
        <v/>
      </c>
      <c r="D10" s="55">
        <f>Assumptions!$B$15*0.85/Assumptions!$B$12</f>
        <v/>
      </c>
      <c r="E10" s="55">
        <f>Assumptions!$B$15*0.7/Assumptions!$B$12</f>
        <v/>
      </c>
      <c r="F10" s="55">
        <f>Assumptions!$B$15*0.6/Assumptions!$B$12</f>
        <v/>
      </c>
    </row>
    <row r="13">
      <c r="A13" s="57" t="inlineStr">
        <is>
          <t>Net contribution / shop @36mo ($)</t>
        </is>
      </c>
      <c r="B13" s="23" t="n"/>
      <c r="C13" s="23" t="n"/>
      <c r="D13" s="23" t="n"/>
      <c r="E13" s="23" t="n"/>
      <c r="F13" s="23" t="n"/>
    </row>
    <row r="14">
      <c r="A14" s="51" t="inlineStr">
        <is>
          <t>Payout \ LTV realization</t>
        </is>
      </c>
      <c r="B14" s="24" t="inlineStr">
        <is>
          <t>130%</t>
        </is>
      </c>
      <c r="C14" s="24" t="inlineStr">
        <is>
          <t>100% (observed)</t>
        </is>
      </c>
      <c r="D14" s="24" t="inlineStr">
        <is>
          <t>85%</t>
        </is>
      </c>
      <c r="E14" s="24" t="inlineStr">
        <is>
          <t>70%</t>
        </is>
      </c>
      <c r="F14" s="24" t="inlineStr">
        <is>
          <t>60%</t>
        </is>
      </c>
    </row>
    <row r="15">
      <c r="A15" s="5" t="inlineStr">
        <is>
          <t>$250 / FP</t>
        </is>
      </c>
      <c r="B15" s="58">
        <f>Assumptions!$B$15*1.3-Assumptions!$B$10</f>
        <v/>
      </c>
      <c r="C15" s="59">
        <f>Assumptions!$B$15*1.0-Assumptions!$B$10</f>
        <v/>
      </c>
      <c r="D15" s="58">
        <f>Assumptions!$B$15*0.85-Assumptions!$B$10</f>
        <v/>
      </c>
      <c r="E15" s="58">
        <f>Assumptions!$B$15*0.7-Assumptions!$B$10</f>
        <v/>
      </c>
      <c r="F15" s="58">
        <f>Assumptions!$B$15*0.6-Assumptions!$B$10</f>
        <v/>
      </c>
    </row>
    <row r="16">
      <c r="A16" s="5" t="inlineStr">
        <is>
          <t>$300 / FP</t>
        </is>
      </c>
      <c r="B16" s="58">
        <f>Assumptions!$B$15*1.3-Assumptions!$B$11</f>
        <v/>
      </c>
      <c r="C16" s="59">
        <f>Assumptions!$B$15*1.0-Assumptions!$B$11</f>
        <v/>
      </c>
      <c r="D16" s="58">
        <f>Assumptions!$B$15*0.85-Assumptions!$B$11</f>
        <v/>
      </c>
      <c r="E16" s="58">
        <f>Assumptions!$B$15*0.7-Assumptions!$B$11</f>
        <v/>
      </c>
      <c r="F16" s="58">
        <f>Assumptions!$B$15*0.6-Assumptions!$B$11</f>
        <v/>
      </c>
    </row>
    <row r="17">
      <c r="A17" s="5" t="inlineStr">
        <is>
          <t>$350 / FP</t>
        </is>
      </c>
      <c r="B17" s="58">
        <f>Assumptions!$B$15*1.3-Assumptions!$B$12</f>
        <v/>
      </c>
      <c r="C17" s="59">
        <f>Assumptions!$B$15*1.0-Assumptions!$B$12</f>
        <v/>
      </c>
      <c r="D17" s="58">
        <f>Assumptions!$B$15*0.85-Assumptions!$B$12</f>
        <v/>
      </c>
      <c r="E17" s="58">
        <f>Assumptions!$B$15*0.7-Assumptions!$B$12</f>
        <v/>
      </c>
      <c r="F17" s="58">
        <f>Assumptions!$B$15*0.6-Assumptions!$B$12</f>
        <v/>
      </c>
    </row>
    <row r="20">
      <c r="A20" s="60" t="inlineStr">
        <is>
          <t>Breakeven LTV/shop needed (LTV:CAC = 1.0)  =  the payout itself:</t>
        </is>
      </c>
      <c r="B20" s="19" t="n"/>
      <c r="C20" s="19" t="n"/>
      <c r="D20" s="19" t="n"/>
      <c r="E20" s="19" t="n"/>
      <c r="F20" s="19" t="n"/>
    </row>
    <row r="21">
      <c r="A21" s="51" t="inlineStr">
        <is>
          <t>Payout</t>
        </is>
      </c>
      <c r="B21" s="24" t="inlineStr">
        <is>
          <t>Breakeven LTV</t>
        </is>
      </c>
      <c r="C21" s="24" t="inlineStr">
        <is>
          <t>Observed LTV @36mo</t>
        </is>
      </c>
      <c r="D21" s="24" t="inlineStr">
        <is>
          <t>× uplift needed</t>
        </is>
      </c>
    </row>
    <row r="22">
      <c r="A22" s="5" t="inlineStr">
        <is>
          <t>$250 / FP</t>
        </is>
      </c>
      <c r="B22" s="10">
        <f>Assumptions!$B$10</f>
        <v/>
      </c>
      <c r="C22" s="11">
        <f>Assumptions!$B$15</f>
        <v/>
      </c>
      <c r="D22" s="55">
        <f>Assumptions!$B$10/Assumptions!$B$15</f>
        <v/>
      </c>
    </row>
    <row r="23">
      <c r="A23" s="5" t="inlineStr">
        <is>
          <t>$300 / FP</t>
        </is>
      </c>
      <c r="B23" s="10">
        <f>Assumptions!$B$11</f>
        <v/>
      </c>
      <c r="C23" s="11">
        <f>Assumptions!$B$15</f>
        <v/>
      </c>
      <c r="D23" s="55">
        <f>Assumptions!$B$11/Assumptions!$B$15</f>
        <v/>
      </c>
    </row>
    <row r="24">
      <c r="A24" s="5" t="inlineStr">
        <is>
          <t>$350 / FP</t>
        </is>
      </c>
      <c r="B24" s="10">
        <f>Assumptions!$B$12</f>
        <v/>
      </c>
      <c r="C24" s="11">
        <f>Assumptions!$B$15</f>
        <v/>
      </c>
      <c r="D24" s="55">
        <f>Assumptions!$B$12/Assumptions!$B$15</f>
        <v/>
      </c>
    </row>
  </sheetData>
  <mergeCells count="2">
    <mergeCell ref="A2:F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61" t="inlineStr">
        <is>
          <t>How this workbook works</t>
        </is>
      </c>
    </row>
    <row r="2">
      <c r="A2" t="inlineStr"/>
    </row>
    <row r="3">
      <c r="A3" s="62" t="inlineStr">
        <is>
          <t>PURPOSE</t>
        </is>
      </c>
    </row>
    <row r="4">
      <c r="A4" t="inlineStr">
        <is>
          <t>Affiliate economics for Adrian Morrison switching from a 3-month paid trial ($90/paid trial,</t>
        </is>
      </c>
    </row>
    <row r="5">
      <c r="A5" t="inlineStr">
        <is>
          <t>~31% conversion) to a 1-month paid trial paid per full-price conversion (~49%), at payouts of</t>
        </is>
      </c>
    </row>
    <row r="6">
      <c r="A6" t="inlineStr">
        <is>
          <t>$250 / $300 / $350 and at base (8,900) and stretch (12,000) monthly paid-trial volumes.</t>
        </is>
      </c>
    </row>
    <row r="7">
      <c r="A7" t="inlineStr"/>
    </row>
    <row r="8">
      <c r="A8" s="62" t="inlineStr">
        <is>
          <t>TABS</t>
        </is>
      </c>
    </row>
    <row r="9">
      <c r="A9" t="inlineStr">
        <is>
          <t xml:space="preserve">  Assumptions      – every input + source. Edit here; all other tabs recalculate.</t>
        </is>
      </c>
    </row>
    <row r="10">
      <c r="A10" t="inlineStr">
        <is>
          <t xml:space="preserve">  Scenarios        – current state + 3 payouts × 2 volumes, with iCAC, LTV@12/24/36, LTV:CAC, net contribution.</t>
        </is>
      </c>
    </row>
    <row r="11">
      <c r="A11" t="inlineStr">
        <is>
          <t xml:space="preserve">  IAF sensitivity  – how iCAC moves at IAF 0.38 / 0.60 / 0.75 (LTV:CAC is IAF-independent).</t>
        </is>
      </c>
    </row>
    <row r="12">
      <c r="A12" t="inlineStr">
        <is>
          <t xml:space="preserve">  LTV sensitivity  – LTV:CAC &amp; net contribution as go-forward LTV is haircut 130%→60% of observed, plus breakeven.</t>
        </is>
      </c>
    </row>
    <row r="13">
      <c r="A13" t="inlineStr"/>
    </row>
    <row r="14">
      <c r="A14" s="62" t="inlineStr">
        <is>
          <t>KEY FORMULAS</t>
        </is>
      </c>
    </row>
    <row r="15">
      <c r="A15" t="inlineStr">
        <is>
          <t xml:space="preserve">  FP shops/mo    = paid trials × CVR</t>
        </is>
      </c>
    </row>
    <row r="16">
      <c r="A16" t="inlineStr">
        <is>
          <t xml:space="preserve">  iGA/mo         = paid trials × IAF            (incremental gross adds)</t>
        </is>
      </c>
    </row>
    <row r="17">
      <c r="A17" t="inlineStr">
        <is>
          <t xml:space="preserve">  Monthly spend  = payout × FP shops            (new model; current = $90 × paid trials)</t>
        </is>
      </c>
    </row>
    <row r="18">
      <c r="A18" t="inlineStr">
        <is>
          <t xml:space="preserve">  Cost/FP shop   = monthly spend / FP shops     (= payout for the new model)</t>
        </is>
      </c>
    </row>
    <row r="19">
      <c r="A19" t="inlineStr">
        <is>
          <t xml:space="preserve">  iCAC           = monthly spend / iGA          (= payout × CVR / IAF)</t>
        </is>
      </c>
    </row>
    <row r="20">
      <c r="A20" t="inlineStr">
        <is>
          <t xml:space="preserve">  LTV:CAC        = LTV per shop / cost per FP shop</t>
        </is>
      </c>
    </row>
    <row r="21">
      <c r="A21" t="inlineStr"/>
    </row>
    <row r="22">
      <c r="A22" s="62" t="inlineStr">
        <is>
          <t>VALIDATION</t>
        </is>
      </c>
    </row>
    <row r="23">
      <c r="A23" t="inlineStr">
        <is>
          <t xml:space="preserve">  iCAC: $250→$322 · $300→$387 · $350→$451 (vs $267 target).</t>
        </is>
      </c>
    </row>
    <row r="24">
      <c r="A24" t="inlineStr">
        <is>
          <t xml:space="preserve">  LTV:CAC @36mo: $250→0.66 · $300→0.55 · $350→0.47.   (matches River's Slack figures)</t>
        </is>
      </c>
    </row>
    <row r="25">
      <c r="A25" t="inlineStr"/>
    </row>
    <row r="26">
      <c r="A26" s="62" t="inlineStr">
        <is>
          <t>LTV SOURCE</t>
        </is>
      </c>
    </row>
    <row r="27">
      <c r="A27" t="inlineStr">
        <is>
          <t xml:space="preserve">  shopify-dw.marketing.shop_ltv_mart_predictions_with_forecast</t>
        </is>
      </c>
    </row>
    <row r="28">
      <c r="A28" t="inlineStr">
        <is>
          <t xml:space="preserve">  US · payback_channel_group = 'Affiliates' ·</t>
        </is>
      </c>
    </row>
    <row r="29">
      <c r="A29" t="inlineStr">
        <is>
          <t xml:space="preserve">  per-shop = predicted_cumulative_total_profit_with_forecast / gross_adds_count_with_forecast</t>
        </is>
      </c>
    </row>
    <row r="30">
      <c r="A30" t="inlineStr">
        <is>
          <t xml:space="preserve">    1-mo era (Apr–Nov 2024): $93.35 / $130.12 / $164.51 @ 12/24/36mo   (go-forward)</t>
        </is>
      </c>
    </row>
    <row r="31">
      <c r="A31" t="inlineStr">
        <is>
          <t xml:space="preserve">    3-mo era (Feb–Dec 2025): $74.87 / $128.52 / n.a.    @ 12/24/36mo   (current state)</t>
        </is>
      </c>
    </row>
    <row r="32">
      <c r="A32" t="inlineStr"/>
    </row>
    <row r="33">
      <c r="A33" t="inlineStr">
        <is>
          <t>DEFAULTS APPLIED (per River's recommendation)</t>
        </is>
      </c>
    </row>
    <row r="34">
      <c r="A34" t="inlineStr">
        <is>
          <t xml:space="preserve">  Volume unit = paid trials (49% applied directly to trials).</t>
        </is>
      </c>
    </row>
    <row r="35">
      <c r="A35" t="inlineStr">
        <is>
          <t xml:space="preserve">  Headline horizon = 36 months. LTV era = 1-mo (go-forward). Geo = all-US. IAF = 0.38 (+ sensitivity tab).</t>
        </is>
      </c>
    </row>
    <row r="36">
      <c r="A36" t="inlineStr"/>
    </row>
    <row r="37">
      <c r="A37" s="62" t="inlineStr">
        <is>
          <t>LEAD'S 'LTV DROPS WITH A 1-MO TRIAL' CONCERN — HOW IT'S HANDLED</t>
        </is>
      </c>
    </row>
    <row r="38">
      <c r="A38" t="inlineStr">
        <is>
          <t xml:space="preserve">  The go-forward LTV is the observed 1-mo-era value, which already blends in lower-intent marginal converters.</t>
        </is>
      </c>
    </row>
    <row r="39">
      <c r="A39" t="inlineStr">
        <is>
          <t xml:space="preserve">  An adjustable 'LTV realization factor' (Assumptions!B19, default 100%) lets you haircut it for extra caution,</t>
        </is>
      </c>
    </row>
    <row r="40">
      <c r="A40" t="inlineStr">
        <is>
          <t xml:space="preserve">  and the LTV sensitivity tab shows the full grid + breakeven. Key point: breakeven LTV = the payout, so at $350</t>
        </is>
      </c>
    </row>
    <row r="41">
      <c r="A41" t="inlineStr">
        <is>
          <t xml:space="preserve">  the shop would need ~2.1× its observed LTV just to break even — the conclusion holds across the whole haircut range.</t>
        </is>
      </c>
    </row>
    <row r="42">
      <c r="A42" t="inlineStr"/>
    </row>
    <row r="43">
      <c r="A43" s="62" t="inlineStr">
        <is>
          <t>HEADLINE TAKEAWAY</t>
        </is>
      </c>
    </row>
    <row r="44">
      <c r="A44" t="inlineStr">
        <is>
          <t xml:space="preserve">  On a straight per-shop basis the funnel is LTV-negative at all three payouts (36-mo LTV ~$165 &lt; payout),</t>
        </is>
      </c>
    </row>
    <row r="45">
      <c r="A45" t="inlineStr">
        <is>
          <t xml:space="preserve">  and iCAC is 21–69% over target — i.e. higher payouts buy the SAME customers for more. The structural</t>
        </is>
      </c>
    </row>
    <row r="46">
      <c r="A46" t="inlineStr">
        <is>
          <t xml:space="preserve">  win is still real: compressing 3-mo → 1-mo lifts CVR (31%→49%) AND per-shop LTV ($75→$93 @12mo).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2026-06-05T18:29:04Z</dcterms:created>
  <dcterms:modified xsi:type="dcterms:W3CDTF">2026-06-05T18:29:04Z</dcterms:modified>
</cp:coreProperties>
</file>